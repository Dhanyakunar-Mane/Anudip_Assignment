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_Exercises" sheetId="1" r:id="rId4"/>
  </sheets>
  <definedNames/>
  <calcPr/>
  <extLst>
    <ext uri="GoogleSheetsCustomDataVersion2">
      <go:sheetsCustomData xmlns:go="http://customooxmlschemas.google.com/" r:id="rId5" roundtripDataChecksum="JHdOiQKpRjh+Kswkg3+oqZBQ/Ag+aOoHLKcXO/iSunE="/>
    </ext>
  </extLst>
</workbook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<sst xmlns="http://schemas.openxmlformats.org/spreadsheetml/2006/main" count="34" uniqueCount="31">
  <si>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</si>
  <si>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</si>
  <si>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</si>
  <si>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</si>
  <si>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</si>
  <si>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</si>
  <si>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</si>
  <si>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</si>
  <si>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</si>
  <si>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</si>
  <si>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</si>
  <si>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</si>
  <si>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</si>
  <si>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</si>
  <si>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</si>
  <si>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</si>
  <si>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</si>
  <si>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</si>
  <si>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</si>
  <si>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</si>
  <si>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</si>
  <si>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</si>
  <si>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</si>
  <si>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</si>
  <si>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300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</si>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</sst>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23130"/>
      <name val="&quot;Segoe UI&quot;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shrinkToFit="0" vertical="top" wrapText="0"/>
    </xf>
    <xf borderId="1" fillId="0" fontId="3" numFmtId="0" xfId="0" applyBorder="1" applyFont="1"/>
    <xf borderId="2" fillId="0" fontId="3" numFmtId="0" xfId="0" applyAlignment="1" applyBorder="1" applyFont="1">
      <alignment horizontal="left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5.38"/>
    <col customWidth="1" min="3" max="3" width="12.0"/>
    <col customWidth="1" min="4" max="4" width="11.13"/>
    <col customWidth="1" min="5" max="5" width="16.0"/>
    <col customWidth="1" min="6" max="6" width="18.13"/>
    <col customWidth="1" min="7" max="7" width="16.25"/>
    <col customWidth="1" min="8" max="8" width="17.38"/>
    <col customWidth="1" min="9" max="9" width="23.88"/>
    <col customWidth="1" min="10" max="10" width="58.0"/>
    <col customWidth="1" min="11" max="11" width="27.88"/>
    <col customWidth="1" min="12" max="12" width="15.75"/>
    <col customWidth="1" min="13" max="13" width="22.63"/>
    <col customWidth="1" min="14" max="26" width="14.38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14.25" customHeight="1">
      <c r="A4" s="3">
        <v>301.0</v>
      </c>
      <c r="B4" s="3" t="s">
        <v>14</v>
      </c>
      <c r="C4" s="3">
        <v>320.0</v>
      </c>
      <c r="D4" s="3">
        <v>300.0</v>
      </c>
      <c r="E4" s="3" t="s">
        <v>15</v>
      </c>
      <c r="F4" s="3" t="str">
        <f t="shared" ref="F4:F9" si="1">IF(C3:C9&gt;=D3:D9,"Achieved","Not Achieved")</f>
        <v>Achieved</v>
      </c>
      <c r="G4" s="3" t="str">
        <f t="shared" ref="G4:G9" si="2">IF(AND(E3:E9="Electronics",C3:C9&gt;300),"Yes","No")</f>
        <v>Yes</v>
      </c>
      <c r="H4" s="4">
        <f t="shared" ref="H4:H9" si="3">IF(C4&gt;=300,12%,IF(C4&gt;=200,8%,5%))</f>
        <v>0.12</v>
      </c>
      <c r="I4" s="3">
        <f t="shared" ref="I4:I9" si="4">IF(C4&gt;=D4,C4*10%,C4*5%)</f>
        <v>32</v>
      </c>
      <c r="J4" s="3" t="str">
        <f t="shared" ref="J4:J9" si="5">IF(C4&gt;=300,"Excellent",IF(C4&gt;=200,"Good","Average"))</f>
        <v>Excellent</v>
      </c>
      <c r="K4" s="5" t="str">
        <f t="shared" ref="K4:K9" si="6">IF(C4&gt;300,"High",IF(AND(C4&gt;=150,C4&lt;300),"Medium","Low"))</f>
        <v>High</v>
      </c>
      <c r="L4" s="3">
        <f t="shared" ref="L4:L9" si="7">IF(AND(C4&gt;=200,E4="Electronics"),700,400)</f>
        <v>700</v>
      </c>
      <c r="M4" s="3" t="str">
        <f t="shared" ref="M4:M9" si="8">IF(C4&gt;=PERCENTILE($C$4:$C$7,0.75),"Yes","No")</f>
        <v>Yes</v>
      </c>
    </row>
    <row r="5" ht="14.25" customHeight="1">
      <c r="A5" s="3">
        <v>302.0</v>
      </c>
      <c r="B5" s="3" t="s">
        <v>16</v>
      </c>
      <c r="C5" s="3">
        <v>180.0</v>
      </c>
      <c r="D5" s="3">
        <v>200.0</v>
      </c>
      <c r="E5" s="3" t="s">
        <v>17</v>
      </c>
      <c r="F5" s="3" t="str">
        <f t="shared" si="1"/>
        <v>Not Achieved</v>
      </c>
      <c r="G5" s="3" t="str">
        <f t="shared" si="2"/>
        <v>No</v>
      </c>
      <c r="H5" s="4">
        <f t="shared" si="3"/>
        <v>0.05</v>
      </c>
      <c r="I5" s="3">
        <f t="shared" si="4"/>
        <v>9</v>
      </c>
      <c r="J5" s="3" t="str">
        <f t="shared" si="5"/>
        <v>Average</v>
      </c>
      <c r="K5" s="5" t="str">
        <f t="shared" si="6"/>
        <v>Medium</v>
      </c>
      <c r="L5" s="3">
        <f t="shared" si="7"/>
        <v>400</v>
      </c>
      <c r="M5" s="3" t="str">
        <f t="shared" si="8"/>
        <v>No</v>
      </c>
    </row>
    <row r="6" ht="14.25" customHeight="1">
      <c r="A6" s="3">
        <v>303.0</v>
      </c>
      <c r="B6" s="3" t="s">
        <v>18</v>
      </c>
      <c r="C6" s="3">
        <v>260.0</v>
      </c>
      <c r="D6" s="3">
        <v>250.0</v>
      </c>
      <c r="E6" s="3" t="s">
        <v>19</v>
      </c>
      <c r="F6" s="3" t="str">
        <f t="shared" si="1"/>
        <v>Achieved</v>
      </c>
      <c r="G6" s="3" t="str">
        <f t="shared" si="2"/>
        <v>No</v>
      </c>
      <c r="H6" s="4">
        <f t="shared" si="3"/>
        <v>0.08</v>
      </c>
      <c r="I6" s="3">
        <f t="shared" si="4"/>
        <v>26</v>
      </c>
      <c r="J6" s="3" t="str">
        <f t="shared" si="5"/>
        <v>Good</v>
      </c>
      <c r="K6" s="5" t="str">
        <f t="shared" si="6"/>
        <v>Medium</v>
      </c>
      <c r="L6" s="3">
        <f t="shared" si="7"/>
        <v>400</v>
      </c>
      <c r="M6" s="3" t="str">
        <f t="shared" si="8"/>
        <v>No</v>
      </c>
    </row>
    <row r="7" ht="14.25" customHeight="1">
      <c r="A7" s="3">
        <v>304.0</v>
      </c>
      <c r="B7" s="3" t="s">
        <v>20</v>
      </c>
      <c r="C7" s="3">
        <v>90.0</v>
      </c>
      <c r="D7" s="3">
        <v>120.0</v>
      </c>
      <c r="E7" s="3" t="s">
        <v>15</v>
      </c>
      <c r="F7" s="3" t="str">
        <f t="shared" si="1"/>
        <v>Not Achieved</v>
      </c>
      <c r="G7" s="3" t="str">
        <f t="shared" si="2"/>
        <v>No</v>
      </c>
      <c r="H7" s="4">
        <f t="shared" si="3"/>
        <v>0.05</v>
      </c>
      <c r="I7" s="3">
        <f t="shared" si="4"/>
        <v>4.5</v>
      </c>
      <c r="J7" s="3" t="str">
        <f t="shared" si="5"/>
        <v>Average</v>
      </c>
      <c r="K7" s="5" t="str">
        <f t="shared" si="6"/>
        <v>Low</v>
      </c>
      <c r="L7" s="3">
        <f t="shared" si="7"/>
        <v>400</v>
      </c>
      <c r="M7" s="3" t="str">
        <f t="shared" si="8"/>
        <v>No</v>
      </c>
    </row>
    <row r="8" ht="14.25" customHeight="1">
      <c r="A8" s="3">
        <v>305.0</v>
      </c>
      <c r="B8" s="3" t="s">
        <v>21</v>
      </c>
      <c r="C8" s="3">
        <v>400.0</v>
      </c>
      <c r="D8" s="3">
        <v>350.0</v>
      </c>
      <c r="E8" s="3" t="s">
        <v>17</v>
      </c>
      <c r="F8" s="3" t="str">
        <f t="shared" si="1"/>
        <v>Achieved</v>
      </c>
      <c r="G8" s="3" t="str">
        <f t="shared" si="2"/>
        <v>No</v>
      </c>
      <c r="H8" s="4">
        <f t="shared" si="3"/>
        <v>0.12</v>
      </c>
      <c r="I8" s="3">
        <f t="shared" si="4"/>
        <v>40</v>
      </c>
      <c r="J8" s="3" t="str">
        <f t="shared" si="5"/>
        <v>Excellent</v>
      </c>
      <c r="K8" s="5" t="str">
        <f t="shared" si="6"/>
        <v>High</v>
      </c>
      <c r="L8" s="3">
        <f t="shared" si="7"/>
        <v>400</v>
      </c>
      <c r="M8" s="3" t="str">
        <f t="shared" si="8"/>
        <v>Yes</v>
      </c>
    </row>
    <row r="9" ht="14.25" customHeight="1">
      <c r="A9" s="3">
        <v>306.0</v>
      </c>
      <c r="B9" s="3" t="s">
        <v>22</v>
      </c>
      <c r="C9" s="3">
        <v>150.0</v>
      </c>
      <c r="D9" s="3">
        <v>150.0</v>
      </c>
      <c r="E9" s="3" t="s">
        <v>19</v>
      </c>
      <c r="F9" s="3" t="str">
        <f t="shared" si="1"/>
        <v>Achieved</v>
      </c>
      <c r="G9" s="3" t="str">
        <f t="shared" si="2"/>
        <v>No</v>
      </c>
      <c r="H9" s="4">
        <f t="shared" si="3"/>
        <v>0.05</v>
      </c>
      <c r="I9" s="3">
        <f t="shared" si="4"/>
        <v>15</v>
      </c>
      <c r="J9" s="3" t="str">
        <f t="shared" si="5"/>
        <v>Average</v>
      </c>
      <c r="K9" s="5" t="str">
        <f t="shared" si="6"/>
        <v>Medium</v>
      </c>
      <c r="L9" s="3">
        <f t="shared" si="7"/>
        <v>400</v>
      </c>
      <c r="M9" s="3" t="str">
        <f t="shared" si="8"/>
        <v>No</v>
      </c>
    </row>
    <row r="10" ht="14.25" customHeight="1"/>
    <row r="11" ht="14.25" customHeight="1"/>
    <row r="12" ht="14.25" customHeight="1">
      <c r="A12" s="6" t="s">
        <v>23</v>
      </c>
      <c r="B12" s="6"/>
      <c r="C12" s="6"/>
      <c r="D12" s="6"/>
      <c r="E12" s="6"/>
      <c r="F12" s="6"/>
      <c r="G12" s="6"/>
    </row>
    <row r="13" ht="63.0" customHeight="1">
      <c r="A13" s="7" t="s">
        <v>24</v>
      </c>
      <c r="B13" s="8"/>
      <c r="C13" s="8"/>
      <c r="D13" s="8"/>
      <c r="E13" s="8"/>
      <c r="F13" s="8"/>
      <c r="G13" s="9"/>
    </row>
    <row r="14" ht="87.0" customHeight="1">
      <c r="A14" s="10" t="s">
        <v>25</v>
      </c>
      <c r="B14" s="8"/>
      <c r="C14" s="8"/>
      <c r="D14" s="8"/>
      <c r="E14" s="8"/>
      <c r="F14" s="8"/>
      <c r="G14" s="9"/>
    </row>
    <row r="15" ht="65.25" customHeight="1">
      <c r="A15" s="10" t="s">
        <v>26</v>
      </c>
      <c r="B15" s="8"/>
      <c r="C15" s="8"/>
      <c r="D15" s="8"/>
      <c r="E15" s="8"/>
      <c r="F15" s="8"/>
      <c r="G15" s="9"/>
    </row>
    <row r="16" ht="103.5" customHeight="1">
      <c r="A16" s="10" t="s">
        <v>27</v>
      </c>
      <c r="B16" s="8"/>
      <c r="C16" s="8"/>
      <c r="D16" s="8"/>
      <c r="E16" s="8"/>
      <c r="F16" s="8"/>
      <c r="G16" s="9"/>
    </row>
    <row r="17" ht="90.0" customHeight="1">
      <c r="A17" s="10" t="s">
        <v>28</v>
      </c>
      <c r="B17" s="8"/>
      <c r="C17" s="8"/>
      <c r="D17" s="8"/>
      <c r="E17" s="8"/>
      <c r="F17" s="8"/>
      <c r="G17" s="9"/>
    </row>
    <row r="18" ht="63.75" customHeight="1">
      <c r="A18" s="10" t="s">
        <v>29</v>
      </c>
      <c r="B18" s="8"/>
      <c r="C18" s="8"/>
      <c r="D18" s="8"/>
      <c r="E18" s="8"/>
      <c r="F18" s="8"/>
      <c r="G18" s="9"/>
    </row>
    <row r="19" ht="87.0" customHeight="1">
      <c r="A19" s="10" t="s">
        <v>30</v>
      </c>
      <c r="B19" s="8"/>
      <c r="C19" s="8"/>
      <c r="D19" s="8"/>
      <c r="E19" s="8"/>
      <c r="F19" s="8"/>
      <c r="G19" s="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3:G13"/>
    <mergeCell ref="A14:G14"/>
    <mergeCell ref="A15:G15"/>
    <mergeCell ref="A16:G16"/>
    <mergeCell ref="A17:G17"/>
    <mergeCell ref="A18:G18"/>
    <mergeCell ref="A19:G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2026-05-21T04:22:38Z</dcterms:created>
  <dc:creator>openpyxl</dc:creator>
</cp:coreProperties>
</file>