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Orders" sheetId="2" r:id="rId5"/>
    <sheet state="visible" name="Analysis" sheetId="3" r:id="rId6"/>
    <sheet state="visible" name="Product Summary" sheetId="4" r:id="rId7"/>
  </sheets>
  <definedNames/>
  <calcPr/>
  <extLst>
    <ext uri="GoogleSheetsCustomDataVersion2">
      <go:sheetsCustomData xmlns:go="http://customooxmlschemas.google.com/" r:id="rId8" roundtripDataChecksum="SaL/yWWR9Q0HTsUbKtnMdct5BxVdv9GlJEwYPMXVXx4="/>
    </ext>
  </extLst>
</workbook>
</file>

<file path=xl/sharedStrings.xml><?xml version="1.0" encoding="utf-8"?>
<sst xmlns="http://schemas.openxmlformats.org/spreadsheetml/2006/main" count="35" uniqueCount="29">
  <si>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</si>
  <si>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</si>
  <si>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</si>
  <si>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</si>
  <si>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</si>
  <si>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</si>
  <si>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</si>
  <si>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</si>
  <si>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</si>
  <si>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</si>
  <si>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</si>
  <si>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</si>
  <si>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</si>
  <si>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</si>
  <si>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</si>
  <si>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</si>
  <si>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</si>
  <si>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</si>
  <si>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</si>
  <si>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</si>
  <si>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</si>
  <si>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</si>
  <si>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</si>
  <si>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Task</t>
  </si>
  <si>
    <t>Result</t>
  </si>
  <si>
    <t>Max  order value</t>
  </si>
  <si>
    <t>Product Not Order</t>
  </si>
  <si>
    <t>None, all Product has been orderd</t>
  </si>
  <si>
    <t>Total Quantity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</si>
</sst>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4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8.0" topLeftCell="A29" activePane="bottomLeft" state="frozen"/>
      <selection activeCell="B30" sqref="B30" pane="bottomLeft"/>
    </sheetView>
  </sheetViews>
  <sheetFormatPr customHeight="1" defaultColWidth="14.43" defaultRowHeight="15.0"/>
  <cols>
    <col customWidth="1" min="1" max="2" width="14.0"/>
    <col customWidth="1" min="3" max="3" width="10.0"/>
    <col customWidth="1" min="4" max="4" width="16.43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101.0</v>
      </c>
      <c r="B2" s="2" t="s">
        <v>3</v>
      </c>
      <c r="C2" s="2">
        <v>120.0</v>
      </c>
    </row>
    <row r="3" ht="14.25" customHeight="1">
      <c r="A3" s="2">
        <v>102.0</v>
      </c>
      <c r="B3" s="2" t="s">
        <v>4</v>
      </c>
      <c r="C3" s="2">
        <v>150.0</v>
      </c>
    </row>
    <row r="4" ht="14.25" customHeight="1">
      <c r="A4" s="2">
        <v>103.0</v>
      </c>
      <c r="B4" s="2" t="s">
        <v>5</v>
      </c>
      <c r="C4" s="2">
        <v>200.0</v>
      </c>
    </row>
    <row r="5" ht="14.25" customHeight="1">
      <c r="A5" s="2">
        <v>104.0</v>
      </c>
      <c r="B5" s="2" t="s">
        <v>6</v>
      </c>
      <c r="C5" s="2">
        <v>90.0</v>
      </c>
    </row>
    <row r="6" ht="14.25" customHeight="1">
      <c r="A6" s="2">
        <v>105.0</v>
      </c>
      <c r="B6" s="2" t="s">
        <v>7</v>
      </c>
      <c r="C6" s="2">
        <v>220.0</v>
      </c>
    </row>
    <row r="7" ht="14.25" customHeight="1">
      <c r="A7" s="2">
        <v>106.0</v>
      </c>
      <c r="B7" s="2" t="s">
        <v>8</v>
      </c>
      <c r="C7" s="2">
        <v>130.0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13.0"/>
    <col customWidth="1" min="4" max="5" width="44.0"/>
    <col customWidth="1" min="6" max="6" width="15.0"/>
    <col customWidth="1" min="7" max="7" width="20.0"/>
    <col customWidth="1" min="8" max="8" width="75.0"/>
    <col customWidth="1" min="9" max="26" width="8.71"/>
  </cols>
  <sheetData>
    <row r="1" ht="14.25" customHeight="1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ht="14.25" customHeight="1">
      <c r="A2" s="2">
        <v>1.0</v>
      </c>
      <c r="B2" s="2">
        <v>101.0</v>
      </c>
      <c r="C2" s="2">
        <v>2.0</v>
      </c>
      <c r="D2" s="3" t="str">
        <f>VLOOKUP(B2, Products!$A$2:$C$7, 2, FALSE)</f>
        <v>Product A</v>
      </c>
      <c r="E2" s="2">
        <f>VLOOKUP(B2, Products!$A$2:$C$7, 3, FALSE)</f>
        <v>120</v>
      </c>
      <c r="F2" s="2">
        <f t="shared" ref="F2:F7" si="1">C2*E2</f>
        <v>240</v>
      </c>
      <c r="G2" s="2">
        <f t="shared" ref="G2:G7" si="2">E2-(E2*10%)</f>
        <v>108</v>
      </c>
      <c r="H2" s="2" t="str">
        <f>IF(ISNA(VLOOKUP(B2,Products!$A$2:$C$7,1,FALSE)),"Not Found","Exists")</f>
        <v>Exists</v>
      </c>
    </row>
    <row r="3" ht="14.25" customHeight="1">
      <c r="A3" s="2">
        <v>2.0</v>
      </c>
      <c r="B3" s="2">
        <v>103.0</v>
      </c>
      <c r="C3" s="2">
        <v>1.0</v>
      </c>
      <c r="D3" s="3" t="str">
        <f>VLOOKUP(B3, Products!$A$2:$C$7, 2, FALSE)</f>
        <v>Product C</v>
      </c>
      <c r="E3" s="2">
        <f>VLOOKUP(B3, Products!$A$2:$C$7, 3, FALSE)</f>
        <v>200</v>
      </c>
      <c r="F3" s="2">
        <f t="shared" si="1"/>
        <v>200</v>
      </c>
      <c r="G3" s="2">
        <f t="shared" si="2"/>
        <v>180</v>
      </c>
      <c r="H3" s="2" t="str">
        <f>IF(ISNA(VLOOKUP(B3,Products!$A$2:$C$7,1,FALSE)),"Not Found","Exists")</f>
        <v>Exists</v>
      </c>
    </row>
    <row r="4" ht="14.25" customHeight="1">
      <c r="A4" s="2">
        <v>3.0</v>
      </c>
      <c r="B4" s="2">
        <v>105.0</v>
      </c>
      <c r="C4" s="2">
        <v>4.0</v>
      </c>
      <c r="D4" s="3" t="str">
        <f>VLOOKUP(B4, Products!$A$2:$C$7, 2, FALSE)</f>
        <v>Product E</v>
      </c>
      <c r="E4" s="2">
        <f>VLOOKUP(B4, Products!$A$2:$C$7, 3, FALSE)</f>
        <v>220</v>
      </c>
      <c r="F4" s="2">
        <f t="shared" si="1"/>
        <v>880</v>
      </c>
      <c r="G4" s="2">
        <f t="shared" si="2"/>
        <v>198</v>
      </c>
      <c r="H4" s="2" t="str">
        <f>IF(ISNA(VLOOKUP(B4,Products!$A$2:$C$7,1,FALSE)),"Not Found","Exists")</f>
        <v>Exists</v>
      </c>
    </row>
    <row r="5" ht="14.25" customHeight="1">
      <c r="A5" s="2">
        <v>4.0</v>
      </c>
      <c r="B5" s="2">
        <v>106.0</v>
      </c>
      <c r="C5" s="2">
        <v>3.0</v>
      </c>
      <c r="D5" s="3" t="str">
        <f>VLOOKUP(B5, Products!$A$2:$C$7, 2, FALSE)</f>
        <v>Product F</v>
      </c>
      <c r="E5" s="2">
        <f>VLOOKUP(B5, Products!$A$2:$C$7, 3, FALSE)</f>
        <v>130</v>
      </c>
      <c r="F5" s="2">
        <f t="shared" si="1"/>
        <v>390</v>
      </c>
      <c r="G5" s="2">
        <f t="shared" si="2"/>
        <v>117</v>
      </c>
      <c r="H5" s="2" t="str">
        <f>IF(ISNA(VLOOKUP(B5,Products!$A$2:$C$7,1,FALSE)),"Not Found","Exists")</f>
        <v>Exists</v>
      </c>
    </row>
    <row r="6" ht="14.25" customHeight="1">
      <c r="A6" s="2">
        <v>5.0</v>
      </c>
      <c r="B6" s="2">
        <v>102.0</v>
      </c>
      <c r="C6" s="2">
        <v>5.0</v>
      </c>
      <c r="D6" s="3" t="str">
        <f>VLOOKUP(B6, Products!$A$2:$C$7, 2, FALSE)</f>
        <v>Product B</v>
      </c>
      <c r="E6" s="2">
        <f>VLOOKUP(B6, Products!$A$2:$C$7, 3, FALSE)</f>
        <v>150</v>
      </c>
      <c r="F6" s="2">
        <f t="shared" si="1"/>
        <v>750</v>
      </c>
      <c r="G6" s="2">
        <f t="shared" si="2"/>
        <v>135</v>
      </c>
      <c r="H6" s="2" t="str">
        <f>IF(ISNA(VLOOKUP(B6,Products!$A$2:$C$7,1,FALSE)),"Not Found","Exists")</f>
        <v>Exists</v>
      </c>
    </row>
    <row r="7" ht="14.25" customHeight="1">
      <c r="A7" s="2">
        <v>6.0</v>
      </c>
      <c r="B7" s="2">
        <v>104.0</v>
      </c>
      <c r="C7" s="2">
        <v>6.0</v>
      </c>
      <c r="D7" s="3" t="str">
        <f>VLOOKUP(B7, Products!$A$2:$C$7, 2, FALSE)</f>
        <v>Product D</v>
      </c>
      <c r="E7" s="2">
        <f>VLOOKUP(B7, Products!$A$2:$C$7, 3, FALSE)</f>
        <v>90</v>
      </c>
      <c r="F7" s="2">
        <f t="shared" si="1"/>
        <v>540</v>
      </c>
      <c r="G7" s="2">
        <f t="shared" si="2"/>
        <v>81</v>
      </c>
      <c r="H7" s="2" t="str">
        <f>IF(ISNA(VLOOKUP(B7,Products!$A$2:$C$7,1,FALSE)),"Not Found","Exists")</f>
        <v>Exists</v>
      </c>
    </row>
    <row r="8" ht="14.25" customHeight="1"/>
    <row r="9" ht="14.25" customHeight="1"/>
    <row r="10" ht="14.25" customHeight="1">
      <c r="A10" s="4" t="s">
        <v>16</v>
      </c>
    </row>
    <row r="11" ht="14.25" customHeight="1">
      <c r="A11" s="4" t="s">
        <v>17</v>
      </c>
    </row>
    <row r="12" ht="14.25" customHeight="1">
      <c r="A12" s="4" t="s">
        <v>18</v>
      </c>
    </row>
    <row r="13" ht="14.25" customHeight="1">
      <c r="A13" s="4" t="s">
        <v>19</v>
      </c>
    </row>
    <row r="14" ht="14.25" customHeight="1">
      <c r="A14" s="4" t="s">
        <v>20</v>
      </c>
    </row>
    <row r="15" ht="14.25" customHeight="1">
      <c r="A15" s="4" t="s">
        <v>21</v>
      </c>
    </row>
    <row r="16" ht="14.25" customHeight="1">
      <c r="A16" s="4" t="s">
        <v>22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3.14"/>
    <col customWidth="1" min="3" max="26" width="8.71"/>
  </cols>
  <sheetData>
    <row r="1" ht="14.25" customHeight="1">
      <c r="A1" s="5" t="s">
        <v>23</v>
      </c>
      <c r="B1" s="5" t="s">
        <v>24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25</v>
      </c>
      <c r="B2" s="2">
        <f>MAX(Orders!F2:F7)</f>
        <v>880</v>
      </c>
    </row>
    <row r="3" ht="14.25" customHeight="1">
      <c r="A3" s="7" t="s">
        <v>26</v>
      </c>
      <c r="B3" s="7" t="s">
        <v>27</v>
      </c>
    </row>
    <row r="4" ht="14.25" customHeight="1">
      <c r="A4" s="3"/>
      <c r="B4" s="2"/>
    </row>
    <row r="5" ht="14.25" customHeight="1"/>
    <row r="6" ht="14.25" customHeight="1"/>
    <row r="7" ht="14.25" customHeight="1"/>
    <row r="8" ht="14.25" customHeight="1"/>
    <row r="9" ht="14.25" customHeight="1">
      <c r="A9" s="4" t="s">
        <v>20</v>
      </c>
    </row>
    <row r="10" ht="14.25" customHeight="1">
      <c r="A10" s="4" t="s">
        <v>21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0"/>
    <col customWidth="1" min="3" max="3" width="37.0"/>
    <col customWidth="1" min="4" max="26" width="8.71"/>
  </cols>
  <sheetData>
    <row r="1" ht="14.25" customHeight="1">
      <c r="A1" s="1" t="s">
        <v>0</v>
      </c>
      <c r="B1" s="1" t="s">
        <v>11</v>
      </c>
      <c r="C1" s="5" t="s">
        <v>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>
        <f>Products!A2</f>
        <v>101</v>
      </c>
      <c r="B2" s="2" t="str">
        <f>Orders!D2</f>
        <v>Product A</v>
      </c>
      <c r="C2" s="2">
        <f>SUMIF(Orders!B2:B7,A2,Orders!C2:C7)</f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>
        <f>Products!A3</f>
        <v>102</v>
      </c>
      <c r="B3" s="2" t="str">
        <f>Orders!D3</f>
        <v>Product C</v>
      </c>
      <c r="C3" s="2">
        <f>SUMIF(Orders!B3:B8,A3,Orders!C3:C8)</f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>
        <f>Products!A4</f>
        <v>103</v>
      </c>
      <c r="B4" s="2" t="str">
        <f>Orders!D4</f>
        <v>Product E</v>
      </c>
      <c r="C4" s="2">
        <f>SUMIF(Orders!B4:B9,A4,Orders!C4:C9)</f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>
        <f>Products!A5</f>
        <v>104</v>
      </c>
      <c r="B5" s="2" t="str">
        <f>Orders!D5</f>
        <v>Product F</v>
      </c>
      <c r="C5" s="2">
        <f>SUMIF(Orders!B5:B10,A5,Orders!C5:C10)</f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>
        <f>Products!A6</f>
        <v>105</v>
      </c>
      <c r="B6" s="2" t="str">
        <f>Orders!D6</f>
        <v>Product B</v>
      </c>
      <c r="C6" s="2">
        <f>SUMIF(Orders!B6:B11,A6,Orders!C6:C11)</f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>
        <f>Products!A7</f>
        <v>106</v>
      </c>
      <c r="B7" s="2" t="str">
        <f>Orders!D7</f>
        <v>Product D</v>
      </c>
      <c r="C7" s="2">
        <f>SUMIF(Orders!B7:B12,A7,Orders!C7:C12)</f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tr">
        <f>Products!A8</f>
        <v/>
      </c>
    </row>
    <row r="9" ht="14.25" customHeight="1"/>
    <row r="10" ht="14.25" customHeight="1"/>
    <row r="11" ht="14.25" customHeight="1">
      <c r="A11" s="4" t="s">
        <v>22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2026-05-18T03:48:30Z</dcterms:created>
  <dc:creator>openpyxl</dc:creator>
</cp:coreProperties>
</file>