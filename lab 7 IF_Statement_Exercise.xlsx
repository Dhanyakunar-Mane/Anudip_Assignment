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Data" sheetId="1" r:id="rId4"/>
  </sheets>
  <definedNames/>
  <calcPr/>
  <extLst>
    <ext uri="GoogleSheetsCustomDataVersion2">
      <go:sheetsCustomData xmlns:go="http://customooxmlschemas.google.com/" r:id="rId5" roundtripDataChecksum="qjzzjTYY/ZJN22wdWkqBfFDIfFHI4I1MtbxyR3JY5w8="/>
    </ext>
  </extLst>
</workbook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<sst xmlns="http://schemas.openxmlformats.org/spreadsheetml/2006/main" count="33" uniqueCount="31">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</sst>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0"/>
    <col customWidth="1" min="3" max="4" width="10.0"/>
    <col customWidth="1" min="5" max="5" width="12.0"/>
    <col customWidth="1" min="6" max="6" width="15.0"/>
    <col customWidth="1" min="7" max="7" width="25.0"/>
    <col customWidth="1" min="8" max="8" width="18.0"/>
    <col customWidth="1" min="9" max="9" width="15.0"/>
    <col customWidth="1" min="10" max="10" width="15.63"/>
    <col customWidth="1" min="11" max="11" width="9.88"/>
    <col customWidth="1" min="12" max="12" width="15.75"/>
    <col customWidth="1" min="13" max="13" width="13.38"/>
    <col customWidth="1" min="14" max="26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>
        <v>101.0</v>
      </c>
      <c r="B2" s="2" t="s">
        <v>13</v>
      </c>
      <c r="C2" s="2">
        <v>120.0</v>
      </c>
      <c r="D2" s="2">
        <v>150.0</v>
      </c>
      <c r="E2" s="2" t="s">
        <v>14</v>
      </c>
      <c r="F2" s="2" t="str">
        <f t="shared" ref="F2:F7" si="1">IF(C2&gt;D2,"Yes","No")</f>
        <v>No</v>
      </c>
      <c r="G2" s="2" t="str">
        <f t="shared" ref="G2:G7" si="2">IF(AND(E2="North",C2&gt;200),"Eligible","Not Eligible")</f>
        <v>Not Eligible</v>
      </c>
      <c r="H2" s="2">
        <f t="shared" ref="H2:H7" si="3">IF(C2&gt;=200,10%,IF(C2&gt;=150,7%,5%))</f>
        <v>0.05</v>
      </c>
      <c r="I2" s="2">
        <f t="shared" ref="I2:I7" si="4">IF(C2&gt;=D2,C2*0.1,C2*0.05)</f>
        <v>6</v>
      </c>
      <c r="J2" s="3" t="str">
        <f t="shared" ref="J2:J7" si="5">IF(C2&gt;=200,"Excellent",IF(C2&gt;=150,"Good","Need Improvement"))</f>
        <v>Need Improvement</v>
      </c>
      <c r="K2" s="2" t="str">
        <f t="shared" ref="K2:K7" si="6">IF(C2&gt;200,"High",IF(C2&gt;=100,"Medium","Low"))</f>
        <v>Medium</v>
      </c>
      <c r="L2" s="2">
        <f t="shared" ref="L2:L7" si="7">IF(AND(C2&gt;=150,E2="North"),500,300)</f>
        <v>300</v>
      </c>
      <c r="M2" s="2" t="str">
        <f t="shared" ref="M2:M7" si="8">IF(C2&gt;=PERCENTILE($C$2:$C$7,0.75),"YES","No")</f>
        <v>No</v>
      </c>
    </row>
    <row r="3" ht="14.25" customHeight="1">
      <c r="A3" s="2">
        <v>102.0</v>
      </c>
      <c r="B3" s="2" t="s">
        <v>15</v>
      </c>
      <c r="C3" s="2">
        <v>150.0</v>
      </c>
      <c r="D3" s="2">
        <v>140.0</v>
      </c>
      <c r="E3" s="2" t="s">
        <v>16</v>
      </c>
      <c r="F3" s="2" t="str">
        <f t="shared" si="1"/>
        <v>Yes</v>
      </c>
      <c r="G3" s="2" t="str">
        <f t="shared" si="2"/>
        <v>Not Eligible</v>
      </c>
      <c r="H3" s="2">
        <f t="shared" si="3"/>
        <v>0.07</v>
      </c>
      <c r="I3" s="2">
        <f t="shared" si="4"/>
        <v>15</v>
      </c>
      <c r="J3" s="3" t="str">
        <f t="shared" si="5"/>
        <v>Good</v>
      </c>
      <c r="K3" s="2" t="str">
        <f t="shared" si="6"/>
        <v>Medium</v>
      </c>
      <c r="L3" s="2">
        <f t="shared" si="7"/>
        <v>300</v>
      </c>
      <c r="M3" s="2" t="str">
        <f t="shared" si="8"/>
        <v>No</v>
      </c>
    </row>
    <row r="4" ht="14.25" customHeight="1">
      <c r="A4" s="2">
        <v>103.0</v>
      </c>
      <c r="B4" s="2" t="s">
        <v>17</v>
      </c>
      <c r="C4" s="2">
        <v>200.0</v>
      </c>
      <c r="D4" s="2">
        <v>200.0</v>
      </c>
      <c r="E4" s="2" t="s">
        <v>18</v>
      </c>
      <c r="F4" s="2" t="str">
        <f t="shared" si="1"/>
        <v>No</v>
      </c>
      <c r="G4" s="2" t="str">
        <f t="shared" si="2"/>
        <v>Not Eligible</v>
      </c>
      <c r="H4" s="2">
        <f t="shared" si="3"/>
        <v>0.1</v>
      </c>
      <c r="I4" s="2">
        <f t="shared" si="4"/>
        <v>20</v>
      </c>
      <c r="J4" s="3" t="str">
        <f t="shared" si="5"/>
        <v>Excellent</v>
      </c>
      <c r="K4" s="2" t="str">
        <f t="shared" si="6"/>
        <v>Medium</v>
      </c>
      <c r="L4" s="2">
        <f t="shared" si="7"/>
        <v>300</v>
      </c>
      <c r="M4" s="2" t="str">
        <f t="shared" si="8"/>
        <v>YES</v>
      </c>
    </row>
    <row r="5" ht="14.25" customHeight="1">
      <c r="A5" s="2">
        <v>104.0</v>
      </c>
      <c r="B5" s="2" t="s">
        <v>19</v>
      </c>
      <c r="C5" s="2">
        <v>90.0</v>
      </c>
      <c r="D5" s="2">
        <v>100.0</v>
      </c>
      <c r="E5" s="2" t="s">
        <v>20</v>
      </c>
      <c r="F5" s="2" t="str">
        <f t="shared" si="1"/>
        <v>No</v>
      </c>
      <c r="G5" s="2" t="str">
        <f t="shared" si="2"/>
        <v>Not Eligible</v>
      </c>
      <c r="H5" s="2">
        <f t="shared" si="3"/>
        <v>0.05</v>
      </c>
      <c r="I5" s="2">
        <f t="shared" si="4"/>
        <v>4.5</v>
      </c>
      <c r="J5" s="3" t="str">
        <f t="shared" si="5"/>
        <v>Need Improvement</v>
      </c>
      <c r="K5" s="2" t="str">
        <f t="shared" si="6"/>
        <v>Low</v>
      </c>
      <c r="L5" s="2">
        <f t="shared" si="7"/>
        <v>300</v>
      </c>
      <c r="M5" s="2" t="str">
        <f t="shared" si="8"/>
        <v>No</v>
      </c>
    </row>
    <row r="6" ht="14.25" customHeight="1">
      <c r="A6" s="2">
        <v>105.0</v>
      </c>
      <c r="B6" s="2" t="s">
        <v>21</v>
      </c>
      <c r="C6" s="2">
        <v>220.0</v>
      </c>
      <c r="D6" s="2">
        <v>210.0</v>
      </c>
      <c r="E6" s="2" t="s">
        <v>14</v>
      </c>
      <c r="F6" s="2" t="str">
        <f t="shared" si="1"/>
        <v>Yes</v>
      </c>
      <c r="G6" s="2" t="str">
        <f t="shared" si="2"/>
        <v>Eligible</v>
      </c>
      <c r="H6" s="2">
        <f t="shared" si="3"/>
        <v>0.1</v>
      </c>
      <c r="I6" s="2">
        <f t="shared" si="4"/>
        <v>22</v>
      </c>
      <c r="J6" s="3" t="str">
        <f t="shared" si="5"/>
        <v>Excellent</v>
      </c>
      <c r="K6" s="2" t="str">
        <f t="shared" si="6"/>
        <v>High</v>
      </c>
      <c r="L6" s="2">
        <f t="shared" si="7"/>
        <v>500</v>
      </c>
      <c r="M6" s="2" t="str">
        <f t="shared" si="8"/>
        <v>YES</v>
      </c>
    </row>
    <row r="7" ht="14.25" customHeight="1">
      <c r="A7" s="2">
        <v>106.0</v>
      </c>
      <c r="B7" s="2" t="s">
        <v>22</v>
      </c>
      <c r="C7" s="2">
        <v>130.0</v>
      </c>
      <c r="D7" s="2">
        <v>160.0</v>
      </c>
      <c r="E7" s="2" t="s">
        <v>16</v>
      </c>
      <c r="F7" s="2" t="str">
        <f t="shared" si="1"/>
        <v>No</v>
      </c>
      <c r="G7" s="2" t="str">
        <f t="shared" si="2"/>
        <v>Not Eligible</v>
      </c>
      <c r="H7" s="2">
        <f t="shared" si="3"/>
        <v>0.05</v>
      </c>
      <c r="I7" s="2">
        <f t="shared" si="4"/>
        <v>6.5</v>
      </c>
      <c r="J7" s="3" t="str">
        <f t="shared" si="5"/>
        <v>Need Improvement</v>
      </c>
      <c r="K7" s="2" t="str">
        <f t="shared" si="6"/>
        <v>Medium</v>
      </c>
      <c r="L7" s="2">
        <f t="shared" si="7"/>
        <v>300</v>
      </c>
      <c r="M7" s="2" t="str">
        <f t="shared" si="8"/>
        <v>No</v>
      </c>
    </row>
    <row r="8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ht="14.25" customHeight="1"/>
    <row r="10" ht="14.25" customHeight="1">
      <c r="A10" s="3" t="s">
        <v>23</v>
      </c>
    </row>
    <row r="11" ht="14.25" customHeight="1">
      <c r="A11" s="3" t="s">
        <v>24</v>
      </c>
    </row>
    <row r="12" ht="14.25" customHeight="1">
      <c r="A12" s="3" t="s">
        <v>25</v>
      </c>
    </row>
    <row r="13" ht="14.25" customHeight="1">
      <c r="A13" s="3" t="s">
        <v>26</v>
      </c>
    </row>
    <row r="14" ht="16.5" customHeight="1">
      <c r="A14" s="4" t="s">
        <v>27</v>
      </c>
    </row>
    <row r="15" ht="16.5" customHeight="1">
      <c r="A15" s="5" t="s">
        <v>28</v>
      </c>
    </row>
    <row r="16" ht="14.25" customHeight="1">
      <c r="A16" s="3" t="s">
        <v>29</v>
      </c>
    </row>
    <row r="17" ht="14.25" customHeight="1">
      <c r="A17" s="3" t="s">
        <v>30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4:J14"/>
    <mergeCell ref="A15:M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2026-05-20T11:39:18Z</dcterms:created>
  <dc:creator>openpyxl</dc:creator>
</cp:coreProperties>
</file>